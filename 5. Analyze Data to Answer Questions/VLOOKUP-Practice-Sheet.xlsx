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40183126-AF69-41B6-B0E4-CD96FA275E9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ivot Data" sheetId="3" r:id="rId1"/>
    <sheet name="raw data" sheetId="1" r:id="rId2"/>
    <sheet name="data map rules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K17" i="1"/>
  <c r="K18" i="1"/>
  <c r="K19" i="1"/>
  <c r="K15" i="1"/>
  <c r="J16" i="1"/>
  <c r="J17" i="1"/>
  <c r="J18" i="1"/>
  <c r="J19" i="1"/>
  <c r="J15" i="1"/>
  <c r="I16" i="1"/>
  <c r="I17" i="1"/>
  <c r="I18" i="1"/>
  <c r="I19" i="1"/>
  <c r="I15" i="1"/>
  <c r="H16" i="1"/>
  <c r="H17" i="1"/>
  <c r="H18" i="1"/>
  <c r="H19" i="1"/>
  <c r="H15" i="1"/>
  <c r="G16" i="1"/>
  <c r="G17" i="1"/>
  <c r="G18" i="1"/>
  <c r="G19" i="1"/>
  <c r="G15" i="1"/>
  <c r="F16" i="1"/>
  <c r="F17" i="1"/>
  <c r="F18" i="1"/>
  <c r="F19" i="1"/>
  <c r="F15" i="1"/>
  <c r="E16" i="1"/>
  <c r="E17" i="1"/>
  <c r="E18" i="1"/>
  <c r="E19" i="1"/>
  <c r="E15" i="1"/>
  <c r="D16" i="1"/>
  <c r="D17" i="1"/>
  <c r="D18" i="1"/>
  <c r="D19" i="1"/>
  <c r="D15" i="1"/>
  <c r="C19" i="1"/>
  <c r="C16" i="1"/>
  <c r="C17" i="1"/>
  <c r="C18" i="1"/>
  <c r="C15" i="1"/>
  <c r="B16" i="1"/>
  <c r="B17" i="1"/>
  <c r="B18" i="1"/>
  <c r="B19" i="1"/>
  <c r="B15" i="1"/>
</calcChain>
</file>

<file path=xl/sharedStrings.xml><?xml version="1.0" encoding="utf-8"?>
<sst xmlns="http://schemas.openxmlformats.org/spreadsheetml/2006/main" count="40" uniqueCount="27">
  <si>
    <t>ID</t>
  </si>
  <si>
    <t>Name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</si>
  <si>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</si>
  <si>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</si>
  <si>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</si>
  <si>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</si>
  <si>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</si>
  <si>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</si>
  <si>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</si>
  <si>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</si>
  <si>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</si>
  <si>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</si>
  <si>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</si>
  <si>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DOH</t>
  </si>
  <si>
    <t>Status</t>
  </si>
  <si>
    <t>Pay Rate</t>
  </si>
  <si>
    <t>On Leave</t>
  </si>
  <si>
    <t>Contractor</t>
  </si>
  <si>
    <t>Full-Time</t>
  </si>
  <si>
    <t>Names</t>
  </si>
  <si>
    <t>Hours</t>
  </si>
  <si>
    <t>Row Labels</t>
  </si>
  <si>
    <t>Chan, Daniel</t>
  </si>
  <si>
    <t>Sanchez, Alexis</t>
  </si>
  <si>
    <t>Grand Total</t>
  </si>
  <si>
    <t>Sum of Pay Rate</t>
  </si>
  <si>
    <t>Sum of 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</si>
</sst>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9" formatCode="_-[$$-409]* #,##0.00_ ;_-[$$-409]* \-#,##0.00\ ;_-[$$-409]* &quot;-&quot;??_ ;_-@_ 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8"/>
      <color rgb="FF0F11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">
    <dxf>
      <numFmt numFmtId="169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nath Chavan" refreshedDate="46033.003107407407" createdVersion="8" refreshedVersion="8" minRefreshableVersion="3" recordCount="5" xr:uid="{D991BF37-CE34-4049-AACE-625613906EE7}">
  <cacheSource type="worksheet">
    <worksheetSource ref="B14:K19" sheet="raw data"/>
  </cacheSource>
  <cacheFields count="10">
    <cacheField name="Names" numFmtId="0">
      <sharedItems count="5">
        <s v="Chan, Daniel"/>
        <s v="Ali, Dana"/>
        <s v="Sanchez, Alexis"/>
        <s v="Fischer, Wolfgang"/>
        <s v="Patel, Anika"/>
      </sharedItems>
    </cacheField>
    <cacheField name="1-1-2020" numFmtId="0">
      <sharedItems containsSemiMixedTypes="0" containsString="0" containsNumber="1" minValue="6" maxValue="8.5"/>
    </cacheField>
    <cacheField name="1-2-2020" numFmtId="0">
      <sharedItems containsSemiMixedTypes="0" containsString="0" containsNumber="1" minValue="5" maxValue="8"/>
    </cacheField>
    <cacheField name="1-3-2020" numFmtId="0">
      <sharedItems containsSemiMixedTypes="0" containsString="0" containsNumber="1" minValue="5" maxValue="10"/>
    </cacheField>
    <cacheField name="1-4-2020" numFmtId="0">
      <sharedItems containsSemiMixedTypes="0" containsString="0" containsNumber="1" minValue="5.5" maxValue="8"/>
    </cacheField>
    <cacheField name="1-5-2020" numFmtId="0">
      <sharedItems containsSemiMixedTypes="0" containsString="0" containsNumber="1" containsInteger="1" minValue="5" maxValue="9"/>
    </cacheField>
    <cacheField name="1-6-2020" numFmtId="0">
      <sharedItems containsSemiMixedTypes="0" containsString="0" containsNumber="1" minValue="2" maxValue="5.5"/>
    </cacheField>
    <cacheField name="Hours" numFmtId="0">
      <sharedItems containsSemiMixedTypes="0" containsString="0" containsNumber="1" minValue="29.5" maxValue="46"/>
    </cacheField>
    <cacheField name="Pay Rate" numFmtId="0">
      <sharedItems containsSemiMixedTypes="0" containsString="0" containsNumber="1" minValue="65" maxValue="3000"/>
    </cacheField>
    <cacheField name="Total Pay" numFmtId="0">
      <sharedItems containsSemiMixedTypes="0" containsString="0" containsNumber="1" minValue="2730" maxValue="8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"/>
    <n v="8"/>
    <n v="8.5"/>
    <n v="7"/>
    <n v="5"/>
    <n v="2.5"/>
    <n v="39"/>
    <n v="100.5"/>
    <n v="3919.5"/>
  </r>
  <r>
    <x v="1"/>
    <n v="8.5"/>
    <n v="7"/>
    <n v="8"/>
    <n v="8"/>
    <n v="9"/>
    <n v="5.5"/>
    <n v="46"/>
    <n v="75"/>
    <n v="3450"/>
  </r>
  <r>
    <x v="2"/>
    <n v="7.5"/>
    <n v="6.5"/>
    <n v="10"/>
    <n v="8"/>
    <n v="7"/>
    <n v="5"/>
    <n v="44"/>
    <n v="150"/>
    <n v="6600"/>
  </r>
  <r>
    <x v="3"/>
    <n v="8"/>
    <n v="8"/>
    <n v="8"/>
    <n v="7"/>
    <n v="7"/>
    <n v="4"/>
    <n v="42"/>
    <n v="65"/>
    <n v="2730"/>
  </r>
  <r>
    <x v="4"/>
    <n v="6"/>
    <n v="5"/>
    <n v="5"/>
    <n v="5.5"/>
    <n v="6"/>
    <n v="2"/>
    <n v="29.5"/>
    <n v="3000"/>
    <n v="88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C0588-3F60-42DC-916A-FAB90C1084B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0"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y Rate" fld="8" baseField="0" baseItem="0"/>
    <dataField name="Sum of Total Pay" fld="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0BD9-3F22-4CDE-BCF6-38366F6DC062}">
  <dimension ref="A3:C9"/>
  <sheetViews>
    <sheetView workbookViewId="0">
      <selection activeCell="B8" sqref="B8"/>
    </sheetView>
  </sheetViews>
  <sheetFormatPr defaultRowHeight="12.5" x14ac:dyDescent="0.25"/>
  <cols>
    <col min="1" max="1" width="15.36328125" bestFit="1" customWidth="1"/>
    <col min="2" max="2" width="15.1796875" bestFit="1" customWidth="1"/>
    <col min="3" max="3" width="15.6328125" bestFit="1" customWidth="1"/>
  </cols>
  <sheetData>
    <row r="3" spans="1:3" x14ac:dyDescent="0.25">
      <c r="A3" s="7" t="s">
        <v>21</v>
      </c>
      <c r="B3" t="s">
        <v>25</v>
      </c>
      <c r="C3" t="s">
        <v>26</v>
      </c>
    </row>
    <row r="4" spans="1:3" x14ac:dyDescent="0.25">
      <c r="A4" s="8" t="s">
        <v>6</v>
      </c>
      <c r="B4" s="9">
        <v>75</v>
      </c>
      <c r="C4" s="9">
        <v>3450</v>
      </c>
    </row>
    <row r="5" spans="1:3" x14ac:dyDescent="0.25">
      <c r="A5" s="8" t="s">
        <v>22</v>
      </c>
      <c r="B5" s="9">
        <v>100.5</v>
      </c>
      <c r="C5" s="9">
        <v>3919.5</v>
      </c>
    </row>
    <row r="6" spans="1:3" x14ac:dyDescent="0.25">
      <c r="A6" s="8" t="s">
        <v>10</v>
      </c>
      <c r="B6" s="9">
        <v>65</v>
      </c>
      <c r="C6" s="9">
        <v>2730</v>
      </c>
    </row>
    <row r="7" spans="1:3" x14ac:dyDescent="0.25">
      <c r="A7" s="8" t="s">
        <v>12</v>
      </c>
      <c r="B7" s="9">
        <v>3000</v>
      </c>
      <c r="C7" s="9">
        <v>88500</v>
      </c>
    </row>
    <row r="8" spans="1:3" x14ac:dyDescent="0.25">
      <c r="A8" s="8" t="s">
        <v>23</v>
      </c>
      <c r="B8" s="9">
        <v>150</v>
      </c>
      <c r="C8" s="9">
        <v>6600</v>
      </c>
    </row>
    <row r="9" spans="1:3" x14ac:dyDescent="0.25">
      <c r="A9" s="8" t="s">
        <v>24</v>
      </c>
      <c r="B9" s="9">
        <v>3390.5</v>
      </c>
      <c r="C9" s="9">
        <v>105199.5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workbookViewId="0">
      <selection activeCell="K17" sqref="K17"/>
    </sheetView>
  </sheetViews>
  <sheetFormatPr defaultColWidth="12.6328125" defaultRowHeight="15.75" customHeight="1" x14ac:dyDescent="0.25"/>
  <cols>
    <col min="2" max="2" width="15" customWidth="1"/>
  </cols>
  <sheetData>
    <row r="1" spans="1:11" ht="15.75" customHeight="1" x14ac:dyDescent="0.25">
      <c r="A1" s="3" t="s">
        <v>0</v>
      </c>
      <c r="B1" s="3" t="s">
        <v>1</v>
      </c>
      <c r="C1" s="4">
        <v>43831</v>
      </c>
      <c r="D1" s="4">
        <v>43832</v>
      </c>
      <c r="E1" s="4">
        <v>43833</v>
      </c>
      <c r="F1" s="4">
        <v>43834</v>
      </c>
      <c r="G1" s="4">
        <v>43835</v>
      </c>
      <c r="H1" s="4">
        <v>43836</v>
      </c>
      <c r="I1" s="1" t="s">
        <v>2</v>
      </c>
    </row>
    <row r="2" spans="1:11" ht="15.75" customHeight="1" x14ac:dyDescent="0.25">
      <c r="A2" s="3" t="s">
        <v>3</v>
      </c>
      <c r="B2" s="3" t="s">
        <v>4</v>
      </c>
      <c r="C2" s="3">
        <v>8</v>
      </c>
      <c r="D2" s="3">
        <v>8</v>
      </c>
      <c r="E2" s="3">
        <v>8.5</v>
      </c>
      <c r="F2" s="3">
        <v>7</v>
      </c>
      <c r="G2" s="3">
        <v>5</v>
      </c>
      <c r="H2" s="3">
        <v>2.5</v>
      </c>
    </row>
    <row r="3" spans="1:11" ht="15.75" customHeight="1" x14ac:dyDescent="0.25">
      <c r="A3" s="3" t="s">
        <v>5</v>
      </c>
      <c r="B3" s="3" t="s">
        <v>6</v>
      </c>
      <c r="C3" s="3">
        <v>8.5</v>
      </c>
      <c r="D3" s="3">
        <v>7</v>
      </c>
      <c r="E3" s="3">
        <v>8</v>
      </c>
      <c r="F3" s="3">
        <v>8</v>
      </c>
      <c r="G3" s="3">
        <v>9</v>
      </c>
      <c r="H3" s="3">
        <v>5.5</v>
      </c>
    </row>
    <row r="4" spans="1:11" ht="15.75" customHeight="1" x14ac:dyDescent="0.25">
      <c r="A4" s="3" t="s">
        <v>7</v>
      </c>
      <c r="B4" s="3" t="s">
        <v>8</v>
      </c>
      <c r="C4" s="3">
        <v>7.5</v>
      </c>
      <c r="D4" s="3">
        <v>6.5</v>
      </c>
      <c r="E4" s="3">
        <v>10</v>
      </c>
      <c r="F4" s="3">
        <v>8</v>
      </c>
      <c r="G4" s="3">
        <v>7</v>
      </c>
      <c r="H4" s="3">
        <v>5</v>
      </c>
    </row>
    <row r="5" spans="1:11" ht="15.75" customHeight="1" x14ac:dyDescent="0.25">
      <c r="A5" s="3" t="s">
        <v>9</v>
      </c>
      <c r="B5" s="3" t="s">
        <v>10</v>
      </c>
      <c r="C5" s="3">
        <v>8</v>
      </c>
      <c r="D5" s="3">
        <v>8</v>
      </c>
      <c r="E5" s="3">
        <v>8</v>
      </c>
      <c r="F5" s="3">
        <v>7</v>
      </c>
      <c r="G5" s="3">
        <v>7</v>
      </c>
      <c r="H5" s="3">
        <v>4</v>
      </c>
    </row>
    <row r="6" spans="1:11" ht="15.75" customHeight="1" x14ac:dyDescent="0.25">
      <c r="A6" s="3" t="s">
        <v>11</v>
      </c>
      <c r="B6" s="3" t="s">
        <v>12</v>
      </c>
      <c r="C6" s="3">
        <v>6</v>
      </c>
      <c r="D6" s="3">
        <v>5</v>
      </c>
      <c r="E6" s="3">
        <v>5</v>
      </c>
      <c r="F6" s="3">
        <v>5.5</v>
      </c>
      <c r="G6" s="3">
        <v>6</v>
      </c>
      <c r="H6" s="3">
        <v>2</v>
      </c>
    </row>
    <row r="11" spans="1:11" ht="15.75" customHeight="1" x14ac:dyDescent="0.25">
      <c r="B11" s="1"/>
    </row>
    <row r="14" spans="1:11" ht="15.75" customHeight="1" x14ac:dyDescent="0.25">
      <c r="B14" s="5" t="s">
        <v>19</v>
      </c>
      <c r="C14" s="4">
        <v>43831</v>
      </c>
      <c r="D14" s="4">
        <v>43832</v>
      </c>
      <c r="E14" s="4">
        <v>43833</v>
      </c>
      <c r="F14" s="4">
        <v>43834</v>
      </c>
      <c r="G14" s="4">
        <v>43835</v>
      </c>
      <c r="H14" s="4">
        <v>43836</v>
      </c>
      <c r="I14" s="5" t="s">
        <v>20</v>
      </c>
      <c r="J14" s="5" t="s">
        <v>15</v>
      </c>
      <c r="K14" s="5" t="s">
        <v>2</v>
      </c>
    </row>
    <row r="15" spans="1:11" ht="15.75" customHeight="1" x14ac:dyDescent="0.25">
      <c r="B15" s="5" t="str">
        <f>TRIM(B2)</f>
        <v>Chan, Daniel</v>
      </c>
      <c r="C15" s="6">
        <f>VALUE(C2)</f>
        <v>8</v>
      </c>
      <c r="D15" s="5">
        <f>VALUE(D2)</f>
        <v>8</v>
      </c>
      <c r="E15" s="5">
        <f>VALUE(E2)</f>
        <v>8.5</v>
      </c>
      <c r="F15" s="5">
        <f>VALUE(F2)</f>
        <v>7</v>
      </c>
      <c r="G15" s="5">
        <f>VALUE(G2)</f>
        <v>5</v>
      </c>
      <c r="H15" s="5">
        <f>VALUE(H2)</f>
        <v>2.5</v>
      </c>
      <c r="I15" s="5">
        <f>SUM(C15:H15)</f>
        <v>39</v>
      </c>
      <c r="J15" s="5">
        <f>VLOOKUP(A2, 'data map rules'!$A$2:$D$6, 4, FALSE)</f>
        <v>100.5</v>
      </c>
      <c r="K15" s="5">
        <f>PRODUCT(I15, J15)</f>
        <v>3919.5</v>
      </c>
    </row>
    <row r="16" spans="1:11" ht="15.75" customHeight="1" x14ac:dyDescent="0.25">
      <c r="B16" s="5" t="str">
        <f t="shared" ref="B16:B19" si="0">TRIM(B3)</f>
        <v>Ali, Dana</v>
      </c>
      <c r="C16" s="6">
        <f t="shared" ref="C16:H18" si="1">VALUE(C3)</f>
        <v>8.5</v>
      </c>
      <c r="D16" s="5">
        <f t="shared" si="1"/>
        <v>7</v>
      </c>
      <c r="E16" s="5">
        <f t="shared" si="1"/>
        <v>8</v>
      </c>
      <c r="F16" s="5">
        <f t="shared" si="1"/>
        <v>8</v>
      </c>
      <c r="G16" s="5">
        <f t="shared" si="1"/>
        <v>9</v>
      </c>
      <c r="H16" s="5">
        <f t="shared" si="1"/>
        <v>5.5</v>
      </c>
      <c r="I16" s="5">
        <f t="shared" ref="I16:I19" si="2">SUM(C16:H16)</f>
        <v>46</v>
      </c>
      <c r="J16" s="5">
        <f>VLOOKUP(A3, 'data map rules'!$A$2:$D$6, 4, FALSE)</f>
        <v>75</v>
      </c>
      <c r="K16" s="5">
        <f t="shared" ref="K16:K19" si="3">PRODUCT(I16, J16)</f>
        <v>3450</v>
      </c>
    </row>
    <row r="17" spans="2:11" ht="15.75" customHeight="1" x14ac:dyDescent="0.25">
      <c r="B17" s="5" t="str">
        <f t="shared" si="0"/>
        <v>Sanchez, Alexis</v>
      </c>
      <c r="C17" s="6">
        <f t="shared" si="1"/>
        <v>7.5</v>
      </c>
      <c r="D17" s="5">
        <f t="shared" si="1"/>
        <v>6.5</v>
      </c>
      <c r="E17" s="5">
        <f t="shared" si="1"/>
        <v>10</v>
      </c>
      <c r="F17" s="5">
        <f t="shared" si="1"/>
        <v>8</v>
      </c>
      <c r="G17" s="5">
        <f t="shared" si="1"/>
        <v>7</v>
      </c>
      <c r="H17" s="5">
        <f t="shared" si="1"/>
        <v>5</v>
      </c>
      <c r="I17" s="5">
        <f t="shared" si="2"/>
        <v>44</v>
      </c>
      <c r="J17" s="5">
        <f>VLOOKUP(A4, 'data map rules'!$A$2:$D$6, 4, FALSE)</f>
        <v>150</v>
      </c>
      <c r="K17" s="5">
        <f t="shared" si="3"/>
        <v>6600</v>
      </c>
    </row>
    <row r="18" spans="2:11" ht="15.75" customHeight="1" x14ac:dyDescent="0.25">
      <c r="B18" s="5" t="str">
        <f t="shared" si="0"/>
        <v>Fischer, Wolfgang</v>
      </c>
      <c r="C18" s="6">
        <f t="shared" si="1"/>
        <v>8</v>
      </c>
      <c r="D18" s="5">
        <f t="shared" si="1"/>
        <v>8</v>
      </c>
      <c r="E18" s="5">
        <f t="shared" si="1"/>
        <v>8</v>
      </c>
      <c r="F18" s="5">
        <f t="shared" si="1"/>
        <v>7</v>
      </c>
      <c r="G18" s="5">
        <f t="shared" si="1"/>
        <v>7</v>
      </c>
      <c r="H18" s="5">
        <f t="shared" si="1"/>
        <v>4</v>
      </c>
      <c r="I18" s="5">
        <f t="shared" si="2"/>
        <v>42</v>
      </c>
      <c r="J18" s="5">
        <f>VLOOKUP(A5, 'data map rules'!$A$2:$D$6, 4, FALSE)</f>
        <v>65</v>
      </c>
      <c r="K18" s="5">
        <f t="shared" si="3"/>
        <v>2730</v>
      </c>
    </row>
    <row r="19" spans="2:11" ht="15.75" customHeight="1" x14ac:dyDescent="0.25">
      <c r="B19" s="5" t="str">
        <f t="shared" si="0"/>
        <v>Patel, Anika</v>
      </c>
      <c r="C19" s="6">
        <f>VALUE(C6)</f>
        <v>6</v>
      </c>
      <c r="D19" s="5">
        <f t="shared" ref="D19:H19" si="4">VALUE(D6)</f>
        <v>5</v>
      </c>
      <c r="E19" s="5">
        <f t="shared" si="4"/>
        <v>5</v>
      </c>
      <c r="F19" s="5">
        <f t="shared" si="4"/>
        <v>5.5</v>
      </c>
      <c r="G19" s="5">
        <f t="shared" si="4"/>
        <v>6</v>
      </c>
      <c r="H19" s="5">
        <f t="shared" si="4"/>
        <v>2</v>
      </c>
      <c r="I19" s="5">
        <f t="shared" si="2"/>
        <v>29.5</v>
      </c>
      <c r="J19" s="5">
        <f>VLOOKUP(A6, 'data map rules'!$A$2:$D$6, 4, FALSE)</f>
        <v>3000</v>
      </c>
      <c r="K19" s="5">
        <f t="shared" si="3"/>
        <v>88500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tabSelected="1"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ht="15.75" customHeight="1" x14ac:dyDescent="0.25">
      <c r="A2" s="1" t="s">
        <v>3</v>
      </c>
      <c r="B2" s="2">
        <v>40532</v>
      </c>
      <c r="C2" s="1" t="s">
        <v>16</v>
      </c>
      <c r="D2" s="1">
        <v>100.5</v>
      </c>
    </row>
    <row r="3" spans="1:4" ht="15.75" customHeight="1" x14ac:dyDescent="0.25">
      <c r="A3" s="1" t="s">
        <v>5</v>
      </c>
      <c r="B3" s="2">
        <v>40183</v>
      </c>
      <c r="C3" s="1" t="s">
        <v>17</v>
      </c>
      <c r="D3" s="1">
        <v>75</v>
      </c>
    </row>
    <row r="4" spans="1:4" ht="15.75" customHeight="1" x14ac:dyDescent="0.25">
      <c r="A4" s="1" t="s">
        <v>7</v>
      </c>
      <c r="B4" s="2">
        <v>40858</v>
      </c>
      <c r="C4" s="1" t="s">
        <v>18</v>
      </c>
      <c r="D4" s="1">
        <v>150</v>
      </c>
    </row>
    <row r="5" spans="1:4" ht="15.75" customHeight="1" x14ac:dyDescent="0.25">
      <c r="A5" s="1" t="s">
        <v>9</v>
      </c>
      <c r="B5" s="2">
        <v>43232</v>
      </c>
      <c r="C5" s="1" t="s">
        <v>17</v>
      </c>
      <c r="D5" s="1">
        <v>65</v>
      </c>
    </row>
    <row r="6" spans="1:4" ht="15.75" customHeight="1" x14ac:dyDescent="0.25">
      <c r="A6" s="1" t="s">
        <v>11</v>
      </c>
      <c r="B6" s="2">
        <v>43832</v>
      </c>
      <c r="C6" s="1" t="s">
        <v>18</v>
      </c>
      <c r="D6" s="1">
        <v>3000</v>
      </c>
    </row>
    <row r="7" spans="1:4" ht="15.75" customHeight="1" x14ac:dyDescent="0.25"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Data</vt:lpstr>
      <vt:lpstr>raw data</vt:lpstr>
      <vt:lpstr>data map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2026-01-10T18:46:37Z</dcterms:modified>
</cp:coreProperties>
</file>